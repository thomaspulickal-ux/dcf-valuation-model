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Objectiv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1" i="1"/>
  <c r="B40" i="1"/>
  <c r="B36" i="1"/>
  <c r="B35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8" i="1"/>
  <c r="B19" i="1" s="1"/>
  <c r="F18" i="1"/>
  <c r="E18" i="1"/>
  <c r="D18" i="1"/>
  <c r="C18" i="1"/>
  <c r="F17" i="1"/>
  <c r="E17" i="1"/>
  <c r="D17" i="1"/>
  <c r="C17" i="1"/>
</calcChain>
</file>

<file path=xl/sharedStrings.xml><?xml version="1.0" encoding="utf-8"?>
<sst xmlns="http://schemas.openxmlformats.org/spreadsheetml/2006/main" count="39" uniqueCount="36">
  <si>
    <t>Operating margin: 20%</t>
  </si>
  <si>
    <t>Tax rate: 25%</t>
  </si>
  <si>
    <t>Discount rate (WACC): 10%</t>
  </si>
  <si>
    <t>Terminal growth rate: 3%</t>
  </si>
  <si>
    <t>Initial Revenue (Year 1): $100 million</t>
  </si>
  <si>
    <t>Depreciation &amp; CapEx offset each other</t>
  </si>
  <si>
    <t>No change in working capital</t>
  </si>
  <si>
    <t>Assumptions</t>
  </si>
  <si>
    <t>Projection period: 5 years</t>
  </si>
  <si>
    <t>Revenue growth rate: 10%</t>
  </si>
  <si>
    <t>NA</t>
  </si>
  <si>
    <t>Step 1: Forecast Free Cash Flow (FCF)</t>
  </si>
  <si>
    <t>Year</t>
  </si>
  <si>
    <t>Revenue</t>
  </si>
  <si>
    <t>EBIT</t>
  </si>
  <si>
    <t>Taxes (at 25 %)</t>
  </si>
  <si>
    <t>Net operating profit after tax</t>
  </si>
  <si>
    <t>Free cash flow</t>
  </si>
  <si>
    <t>Step 2: Calculate Present Value of Each FCF</t>
  </si>
  <si>
    <t>PV = FCF / (1 + r)^t</t>
  </si>
  <si>
    <t>PV</t>
  </si>
  <si>
    <t>PV of free cash flow</t>
  </si>
  <si>
    <t>Step 3: Terminal Value (TV)</t>
  </si>
  <si>
    <t>TV = Final Year FCF × (1 + g) / (r − g)</t>
  </si>
  <si>
    <t>TV</t>
  </si>
  <si>
    <t>Present value of termina value</t>
  </si>
  <si>
    <t>Step 4: Enterprise Value (EV)</t>
  </si>
  <si>
    <t>Add PV of FCFs + PV of Terminal Value:</t>
  </si>
  <si>
    <t>PV of cash flows</t>
  </si>
  <si>
    <t>PV of terminal value</t>
  </si>
  <si>
    <t>EV</t>
  </si>
  <si>
    <r>
      <t>Objective</t>
    </r>
    <r>
      <rPr>
        <sz val="8"/>
        <color theme="1"/>
        <rFont val="Segoe UI"/>
        <family val="2"/>
      </rPr>
      <t>: To determine the value (Enterprise Value) of a company or an investment.</t>
    </r>
  </si>
  <si>
    <r>
      <t>Defined Scope</t>
    </r>
    <r>
      <rPr>
        <sz val="8"/>
        <color theme="1"/>
        <rFont val="Segoe UI"/>
        <family val="2"/>
      </rPr>
      <t>: It includes forecasting revenues, estimating margins, calculating taxes, discounting cash flows, and computing terminal value.</t>
    </r>
  </si>
  <si>
    <r>
      <t>Deliverable</t>
    </r>
    <r>
      <rPr>
        <sz val="8"/>
        <color theme="1"/>
        <rFont val="Segoe UI"/>
        <family val="2"/>
      </rPr>
      <t>: A working DCF model, usually built in Excel, with input layers, calculations, and results.</t>
    </r>
  </si>
  <si>
    <r>
      <t>Skills Used</t>
    </r>
    <r>
      <rPr>
        <sz val="8"/>
        <color theme="1"/>
        <rFont val="Segoe UI"/>
        <family val="2"/>
      </rPr>
      <t>: Financial modeling, forecasting, Excel, logic, valuation theory.</t>
    </r>
  </si>
  <si>
    <r>
      <t>Real-World Relevance</t>
    </r>
    <r>
      <rPr>
        <sz val="8"/>
        <color theme="1"/>
        <rFont val="Segoe UI"/>
        <family val="2"/>
      </rPr>
      <t>: Used in investment banking, corporate finance, equity research, startup funding, and personal investing.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</si>
</sst>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"/>
  </numFmts>
  <fonts count="7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18"/>
      <color theme="1"/>
      <name val="FkGrotesk"/>
    </font>
    <font>
      <sz val="9.6"/>
      <color theme="1"/>
      <name val="Courier New"/>
      <family val="3"/>
    </font>
    <font>
      <sz val="8"/>
      <color theme="1"/>
      <name val="Segoe UI"/>
      <family val="2"/>
    </font>
    <font>
      <b/>
      <sz val="18"/>
      <color theme="1"/>
      <name val="FkGrotesk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0" fillId="0" borderId="1" xfId="0" applyBorder="1"/>
    <xf numFmtId="170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2" fontId="0" fillId="0" borderId="1" xfId="0" applyNumberForma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21" sqref="A21"/>
    </sheetView>
  </sheetViews>
  <sheetFormatPr defaultRowHeight="14.5"/>
  <cols>
    <col min="1" max="1" width="92" bestFit="1" customWidth="1"/>
  </cols>
  <sheetData>
    <row r="1" spans="1:1">
      <c r="A1" s="5" t="s">
        <v>31</v>
      </c>
    </row>
    <row r="2" spans="1:1">
      <c r="A2" s="5" t="s">
        <v>32</v>
      </c>
    </row>
    <row r="3" spans="1:1">
      <c r="A3" s="5" t="s">
        <v>33</v>
      </c>
    </row>
    <row r="4" spans="1:1">
      <c r="A4" s="5" t="s">
        <v>34</v>
      </c>
    </row>
    <row r="5" spans="1:1">
      <c r="A5" s="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2"/>
  <sheetViews>
    <sheetView tabSelected="1" topLeftCell="A29" workbookViewId="0">
      <selection activeCell="A49" sqref="A49"/>
    </sheetView>
  </sheetViews>
  <sheetFormatPr defaultRowHeight="14.5"/>
  <cols>
    <col min="1" max="1" width="27.1796875" bestFit="1" customWidth="1"/>
    <col min="2" max="6" width="10.36328125" bestFit="1" customWidth="1"/>
  </cols>
  <sheetData>
    <row r="3" spans="1:6" ht="22.5">
      <c r="A3" s="8" t="s">
        <v>7</v>
      </c>
      <c r="B3" s="9"/>
    </row>
    <row r="4" spans="1:6">
      <c r="A4" s="10" t="s">
        <v>8</v>
      </c>
      <c r="B4" s="6">
        <v>5</v>
      </c>
    </row>
    <row r="5" spans="1:6">
      <c r="A5" s="10" t="s">
        <v>9</v>
      </c>
      <c r="B5" s="6">
        <v>0.1</v>
      </c>
    </row>
    <row r="6" spans="1:6">
      <c r="A6" s="11" t="s">
        <v>0</v>
      </c>
      <c r="B6" s="6">
        <v>0.2</v>
      </c>
    </row>
    <row r="7" spans="1:6">
      <c r="A7" s="11" t="s">
        <v>1</v>
      </c>
      <c r="B7" s="6">
        <v>0.25</v>
      </c>
    </row>
    <row r="8" spans="1:6">
      <c r="A8" s="11" t="s">
        <v>2</v>
      </c>
      <c r="B8" s="6">
        <v>0.1</v>
      </c>
    </row>
    <row r="9" spans="1:6">
      <c r="A9" s="11" t="s">
        <v>3</v>
      </c>
      <c r="B9" s="6">
        <v>0.03</v>
      </c>
    </row>
    <row r="10" spans="1:6">
      <c r="A10" s="11" t="s">
        <v>4</v>
      </c>
      <c r="B10" s="6">
        <v>10</v>
      </c>
    </row>
    <row r="11" spans="1:6">
      <c r="A11" s="11" t="s">
        <v>5</v>
      </c>
      <c r="B11" s="6" t="s">
        <v>10</v>
      </c>
    </row>
    <row r="12" spans="1:6">
      <c r="A12" s="11" t="s">
        <v>6</v>
      </c>
      <c r="B12" s="6" t="s">
        <v>10</v>
      </c>
    </row>
    <row r="15" spans="1:6" ht="23">
      <c r="A15" s="13" t="s">
        <v>11</v>
      </c>
      <c r="B15" s="14"/>
      <c r="C15" s="14"/>
      <c r="D15" s="14"/>
      <c r="E15" s="14"/>
      <c r="F15" s="15"/>
    </row>
    <row r="16" spans="1:6">
      <c r="A16" s="16" t="s">
        <v>12</v>
      </c>
      <c r="B16" s="16">
        <v>1</v>
      </c>
      <c r="C16" s="16">
        <v>2</v>
      </c>
      <c r="D16" s="16">
        <v>3</v>
      </c>
      <c r="E16" s="16">
        <v>4</v>
      </c>
      <c r="F16" s="16">
        <v>5</v>
      </c>
    </row>
    <row r="17" spans="1:6">
      <c r="A17" s="6" t="s">
        <v>13</v>
      </c>
      <c r="B17" s="6">
        <v>100</v>
      </c>
      <c r="C17" s="6">
        <f>B17*1.1</f>
        <v>110.00000000000001</v>
      </c>
      <c r="D17" s="6">
        <f>C17*1.1</f>
        <v>121.00000000000003</v>
      </c>
      <c r="E17" s="6">
        <f>D17*1.1</f>
        <v>133.10000000000005</v>
      </c>
      <c r="F17" s="7">
        <f>E17*1.1</f>
        <v>146.41000000000008</v>
      </c>
    </row>
    <row r="18" spans="1:6">
      <c r="A18" s="6" t="s">
        <v>14</v>
      </c>
      <c r="B18" s="7">
        <f>B17*B6</f>
        <v>20</v>
      </c>
      <c r="C18" s="7">
        <f>C17*B6</f>
        <v>22.000000000000004</v>
      </c>
      <c r="D18" s="7">
        <f>D17*B6</f>
        <v>24.200000000000006</v>
      </c>
      <c r="E18" s="7">
        <f>E17*B6</f>
        <v>26.620000000000012</v>
      </c>
      <c r="F18" s="7">
        <f>F17*B6</f>
        <v>29.282000000000018</v>
      </c>
    </row>
    <row r="19" spans="1:6">
      <c r="A19" s="6" t="s">
        <v>15</v>
      </c>
      <c r="B19" s="7">
        <f>B18*B7</f>
        <v>5</v>
      </c>
      <c r="C19" s="7">
        <f>C18*B7</f>
        <v>5.5000000000000009</v>
      </c>
      <c r="D19" s="7">
        <f>D18*B7</f>
        <v>6.0500000000000016</v>
      </c>
      <c r="E19" s="7">
        <f>E18*B7</f>
        <v>6.6550000000000029</v>
      </c>
      <c r="F19" s="7">
        <f>F18*B7</f>
        <v>7.3205000000000044</v>
      </c>
    </row>
    <row r="20" spans="1:6">
      <c r="A20" s="6" t="s">
        <v>16</v>
      </c>
      <c r="B20" s="7">
        <f>B18-B19</f>
        <v>15</v>
      </c>
      <c r="C20" s="7">
        <f>C18-C19</f>
        <v>16.500000000000004</v>
      </c>
      <c r="D20" s="7">
        <f>D18-D19</f>
        <v>18.150000000000006</v>
      </c>
      <c r="E20" s="7">
        <f>E18-E19</f>
        <v>19.965000000000011</v>
      </c>
      <c r="F20" s="7">
        <f>F18-F19</f>
        <v>21.961500000000015</v>
      </c>
    </row>
    <row r="21" spans="1:6">
      <c r="A21" s="6" t="s">
        <v>17</v>
      </c>
      <c r="B21" s="7">
        <f>B20</f>
        <v>15</v>
      </c>
      <c r="C21" s="7">
        <f>C20</f>
        <v>16.500000000000004</v>
      </c>
      <c r="D21" s="7">
        <f>D20</f>
        <v>18.150000000000006</v>
      </c>
      <c r="E21" s="7">
        <f>E20</f>
        <v>19.965000000000011</v>
      </c>
      <c r="F21" s="7">
        <f>F20</f>
        <v>21.961500000000015</v>
      </c>
    </row>
    <row r="23" spans="1:6" ht="22.5">
      <c r="A23" s="1" t="s">
        <v>18</v>
      </c>
    </row>
    <row r="24" spans="1:6">
      <c r="A24" s="2" t="s">
        <v>19</v>
      </c>
    </row>
    <row r="26" spans="1:6">
      <c r="A26" s="16" t="s">
        <v>12</v>
      </c>
      <c r="B26" s="16">
        <v>1</v>
      </c>
      <c r="C26" s="16">
        <v>2</v>
      </c>
      <c r="D26" s="16">
        <v>3</v>
      </c>
      <c r="E26" s="16">
        <v>4</v>
      </c>
      <c r="F26" s="16">
        <v>5</v>
      </c>
    </row>
    <row r="27" spans="1:6">
      <c r="A27" s="6" t="s">
        <v>17</v>
      </c>
      <c r="B27" s="7">
        <f>B21</f>
        <v>15</v>
      </c>
      <c r="C27" s="7">
        <f>C21</f>
        <v>16.500000000000004</v>
      </c>
      <c r="D27" s="7">
        <f>D21</f>
        <v>18.150000000000006</v>
      </c>
      <c r="E27" s="7">
        <f>E21</f>
        <v>19.965000000000011</v>
      </c>
      <c r="F27" s="7">
        <f>F21</f>
        <v>21.961500000000015</v>
      </c>
    </row>
    <row r="28" spans="1:6">
      <c r="A28" s="6" t="s">
        <v>20</v>
      </c>
      <c r="B28" s="12">
        <f>1/(1+B8)</f>
        <v>0.90909090909090906</v>
      </c>
      <c r="C28" s="12">
        <f>B28/(1+B8)</f>
        <v>0.82644628099173545</v>
      </c>
      <c r="D28" s="12">
        <f>C28/(1+B8)</f>
        <v>0.75131480090157765</v>
      </c>
      <c r="E28" s="12">
        <f>D28/(1+B8)</f>
        <v>0.68301345536507052</v>
      </c>
      <c r="F28" s="12">
        <f>E28/(1+B8)</f>
        <v>0.62092132305915493</v>
      </c>
    </row>
    <row r="29" spans="1:6">
      <c r="A29" s="6" t="s">
        <v>21</v>
      </c>
      <c r="B29" s="7">
        <f>B27*B28</f>
        <v>13.636363636363637</v>
      </c>
      <c r="C29" s="7">
        <f>C27*C28</f>
        <v>13.636363636363638</v>
      </c>
      <c r="D29" s="7">
        <f>D27*D28</f>
        <v>13.636363636363638</v>
      </c>
      <c r="E29" s="7">
        <f>E27*E28</f>
        <v>13.63636363636364</v>
      </c>
      <c r="F29" s="7">
        <f>F27*F28</f>
        <v>13.63636363636364</v>
      </c>
    </row>
    <row r="31" spans="1:6" ht="22.5">
      <c r="A31" s="1" t="s">
        <v>22</v>
      </c>
    </row>
    <row r="33" spans="1:2">
      <c r="A33" s="3" t="s">
        <v>23</v>
      </c>
    </row>
    <row r="35" spans="1:2">
      <c r="A35" s="6" t="s">
        <v>24</v>
      </c>
      <c r="B35" s="12">
        <f>(F21*(1+B9))/(B8-B9)</f>
        <v>323.14778571428587</v>
      </c>
    </row>
    <row r="36" spans="1:2">
      <c r="A36" s="6" t="s">
        <v>25</v>
      </c>
      <c r="B36" s="12">
        <f>B35/(1+B8)^5</f>
        <v>200.64935064935068</v>
      </c>
    </row>
    <row r="38" spans="1:2" ht="22.5">
      <c r="A38" s="1" t="s">
        <v>26</v>
      </c>
    </row>
    <row r="39" spans="1:2">
      <c r="A39" s="4" t="s">
        <v>27</v>
      </c>
    </row>
    <row r="40" spans="1:2">
      <c r="A40" s="6" t="s">
        <v>28</v>
      </c>
      <c r="B40" s="7">
        <f>SUM(B29:F29)</f>
        <v>68.181818181818187</v>
      </c>
    </row>
    <row r="41" spans="1:2">
      <c r="A41" s="6" t="s">
        <v>29</v>
      </c>
      <c r="B41" s="6">
        <f>B36</f>
        <v>200.64935064935068</v>
      </c>
    </row>
    <row r="42" spans="1:2">
      <c r="A42" s="6" t="s">
        <v>30</v>
      </c>
      <c r="B42" s="7">
        <f>B40+B41</f>
        <v>268.83116883116884</v>
      </c>
    </row>
  </sheetData>
  <mergeCells count="2">
    <mergeCell ref="A15:F15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2025-08-06T12:58:45Z</dcterms:modified>
</cp:coreProperties>
</file>